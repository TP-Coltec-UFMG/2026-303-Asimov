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<sst xmlns="http://schemas.openxmlformats.org/spreadsheetml/2006/main" count="248" uniqueCount="221">
  <si>
    <t>PORTUGUÊS</t>
  </si>
  <si>
    <t>ENGLISH</t>
  </si>
  <si>
    <t>ESPAÑOL</t>
  </si>
  <si>
    <t>FRANÇAIS</t>
  </si>
  <si>
    <t>Novo Jogo</t>
  </si>
  <si>
    <t>New Game</t>
  </si>
  <si>
    <t>Nuevo Juego</t>
  </si>
  <si>
    <t>Nouveau Jeu</t>
  </si>
  <si>
    <t>Opções</t>
  </si>
  <si>
    <t>Options</t>
  </si>
  <si>
    <t>Opciones</t>
  </si>
  <si>
    <t>Sair</t>
  </si>
  <si>
    <t>Exit</t>
  </si>
  <si>
    <t>Salir</t>
  </si>
  <si>
    <t>Quitter</t>
  </si>
  <si>
    <t>Idioma</t>
  </si>
  <si>
    <t>Language</t>
  </si>
  <si>
    <t>Langue</t>
  </si>
  <si>
    <t>Português</t>
  </si>
  <si>
    <t>Portuguese</t>
  </si>
  <si>
    <t>Portugués</t>
  </si>
  <si>
    <t>Portugais</t>
  </si>
  <si>
    <t>Inglês</t>
  </si>
  <si>
    <t>English</t>
  </si>
  <si>
    <t>Inglés</t>
  </si>
  <si>
    <t>Anglais</t>
  </si>
  <si>
    <t>Espanhol</t>
  </si>
  <si>
    <t>Spanish</t>
  </si>
  <si>
    <t>Español</t>
  </si>
  <si>
    <t>Espagnol</t>
  </si>
  <si>
    <t>Francês</t>
  </si>
  <si>
    <t>French</t>
  </si>
  <si>
    <t>Francés</t>
  </si>
  <si>
    <t>Français</t>
  </si>
  <si>
    <t>Volume</t>
  </si>
  <si>
    <t>Volumen</t>
  </si>
  <si>
    <t>Configurações de Volume</t>
  </si>
  <si>
    <t>Volume Settings</t>
  </si>
  <si>
    <t>Ajustes de Volumen</t>
  </si>
  <si>
    <t>Paramètres de Volume</t>
  </si>
  <si>
    <t>Música</t>
  </si>
  <si>
    <t>Music</t>
  </si>
  <si>
    <t>Musique</t>
  </si>
  <si>
    <t>Ambiente</t>
  </si>
  <si>
    <t>Ambient</t>
  </si>
  <si>
    <t>Ambiance</t>
  </si>
  <si>
    <t>Controles</t>
  </si>
  <si>
    <t>Controls</t>
  </si>
  <si>
    <t>Commandes</t>
  </si>
  <si>
    <t>Interface</t>
  </si>
  <si>
    <t>Interfaz</t>
  </si>
  <si>
    <t>Tela Cheia</t>
  </si>
  <si>
    <t>Full Screen</t>
  </si>
  <si>
    <t>Pantalla Completa</t>
  </si>
  <si>
    <t>Plein Écran</t>
  </si>
  <si>
    <t>Mostrar FPS</t>
  </si>
  <si>
    <t>Show FPS</t>
  </si>
  <si>
    <t>Afficher les FPS</t>
  </si>
  <si>
    <t>Limite de FPS</t>
  </si>
  <si>
    <t>Frame Rate Limit</t>
  </si>
  <si>
    <t>Límite de FPS</t>
  </si>
  <si>
    <t>Acessibilidade</t>
  </si>
  <si>
    <t>Accessibility</t>
  </si>
  <si>
    <t>Accesibilidad</t>
  </si>
  <si>
    <t>Accessibilité</t>
  </si>
  <si>
    <t>Filtro de Daltonismo</t>
  </si>
  <si>
    <t>Color Blindness Filter</t>
  </si>
  <si>
    <t>Filtre de Daltonisme</t>
  </si>
  <si>
    <t>Desligado</t>
  </si>
  <si>
    <t>Disabled</t>
  </si>
  <si>
    <t>Desactivado</t>
  </si>
  <si>
    <t>Désactivé</t>
  </si>
  <si>
    <t>Ligado</t>
  </si>
  <si>
    <t>Enabled</t>
  </si>
  <si>
    <t>Activado</t>
  </si>
  <si>
    <t>Activé</t>
  </si>
  <si>
    <t>Intensidade</t>
  </si>
  <si>
    <t>Intensity</t>
  </si>
  <si>
    <t>Intensidad</t>
  </si>
  <si>
    <t>Intensité</t>
  </si>
  <si>
    <t>Legendas</t>
  </si>
  <si>
    <t>Subtitles</t>
  </si>
  <si>
    <t>Subtítulos</t>
  </si>
  <si>
    <t>Sous-titres</t>
  </si>
  <si>
    <t>Tamanho</t>
  </si>
  <si>
    <t>Size</t>
  </si>
  <si>
    <t>Tamaño</t>
  </si>
  <si>
    <t>Taille</t>
  </si>
  <si>
    <t>Minutos</t>
  </si>
  <si>
    <t>Minutes</t>
  </si>
  <si>
    <t>Actas</t>
  </si>
  <si>
    <t>Leitor de Tela</t>
  </si>
  <si>
    <t>Screen Reader</t>
  </si>
  <si>
    <t>Lector de Pantalla</t>
  </si>
  <si>
    <t>Lecteur d'écran</t>
  </si>
  <si>
    <t>Velocidade</t>
  </si>
  <si>
    <t>Speed</t>
  </si>
  <si>
    <t>Velocidad</t>
  </si>
  <si>
    <t>Vitesse</t>
  </si>
  <si>
    <t>Alto Contraste</t>
  </si>
  <si>
    <t>High Contrast</t>
  </si>
  <si>
    <t>Contraste Élevé</t>
  </si>
  <si>
    <t>Voltar</t>
  </si>
  <si>
    <t>Back</t>
  </si>
  <si>
    <t>Volver</t>
  </si>
  <si>
    <t>Retour</t>
  </si>
  <si>
    <t>Tamanho da Interface</t>
  </si>
  <si>
    <t>Interface Size</t>
  </si>
  <si>
    <t>Tamaño de la Interfaz</t>
  </si>
  <si>
    <t>Taille de l'interface</t>
  </si>
  <si>
    <t>Opções de Volume</t>
  </si>
  <si>
    <t>Opções de Controles</t>
  </si>
  <si>
    <t>Control Settings</t>
  </si>
  <si>
    <t>Ajustes de Controles</t>
  </si>
  <si>
    <t>Paramètres des Commandes</t>
  </si>
  <si>
    <t>Opções de Interface</t>
  </si>
  <si>
    <t>Interface Settings</t>
  </si>
  <si>
    <t>Ajustes de Interfaz</t>
  </si>
  <si>
    <t>Paramètres d'interface</t>
  </si>
  <si>
    <t>Opções de Acessibilidade</t>
  </si>
  <si>
    <t>Accessibility Settings</t>
  </si>
  <si>
    <t>Ajustes de Accesibilidad</t>
  </si>
  <si>
    <t>Paramètres d'accessibilité</t>
  </si>
  <si>
    <t>Tela Cheia Ativada</t>
  </si>
  <si>
    <t>Full Screen Enabled</t>
  </si>
  <si>
    <t>Pantalla Completa Activada</t>
  </si>
  <si>
    <t>Plein Écran Activé</t>
  </si>
  <si>
    <t>Tela Cheia Desativada</t>
  </si>
  <si>
    <t>Full Screen Disabled</t>
  </si>
  <si>
    <t>Pantalla Completa Desactivada</t>
  </si>
  <si>
    <t>Plein Écran Désactivé</t>
  </si>
  <si>
    <t>Mostrar FPS Ativado</t>
  </si>
  <si>
    <t>Show FPS Enabled</t>
  </si>
  <si>
    <t>Mostrar FPS Activado</t>
  </si>
  <si>
    <t>Afficher les FPS Activé</t>
  </si>
  <si>
    <t>Mostrar FPS Desativado</t>
  </si>
  <si>
    <t>Show FPS Disabled</t>
  </si>
  <si>
    <t>Afficher les FPS Désactivé</t>
  </si>
  <si>
    <t>Filtro de Daltonismo Ativado</t>
  </si>
  <si>
    <t>Color Blindness Filter Enabled</t>
  </si>
  <si>
    <t>Filtro de Daltonismo Activado</t>
  </si>
  <si>
    <t>Filtre de Daltonisme Activé</t>
  </si>
  <si>
    <t>Filtro de Daltonismo Destivado</t>
  </si>
  <si>
    <t>Color Blindness Filter Disabled</t>
  </si>
  <si>
    <t>Filtro de Daltonismo Desactivado</t>
  </si>
  <si>
    <t>Filtre de Daltonisme Désactivé</t>
  </si>
  <si>
    <t>Legendas Ligadas</t>
  </si>
  <si>
    <t>Subtitles Enabled</t>
  </si>
  <si>
    <t>Subtítulos Activadas</t>
  </si>
  <si>
    <t>Sous-titres Activé</t>
  </si>
  <si>
    <t>Legendas Desligadas</t>
  </si>
  <si>
    <t>Subtitles Disabled</t>
  </si>
  <si>
    <t>Subtítulos Desactivadas</t>
  </si>
  <si>
    <t>Sous-titres Désactivé</t>
  </si>
  <si>
    <t>Leitor de Tela Ativado</t>
  </si>
  <si>
    <t>Screen Reader Enabled</t>
  </si>
  <si>
    <t>Lector de Pantalla Activado</t>
  </si>
  <si>
    <t>Lecteur d'écran Activé</t>
  </si>
  <si>
    <t>Leitor de Tela Desativado</t>
  </si>
  <si>
    <t>Screen Reader Disabled</t>
  </si>
  <si>
    <t>Lector de Pantalla Desactivado</t>
  </si>
  <si>
    <t>Lecteur d'écran Désactivé</t>
  </si>
  <si>
    <t>Alto Contraste Ligado</t>
  </si>
  <si>
    <t>High Contrast Enabled</t>
  </si>
  <si>
    <t>Alto Contraste Activado</t>
  </si>
  <si>
    <t>Contraste Élevé Activé</t>
  </si>
  <si>
    <t>Alto Contraste Desligado</t>
  </si>
  <si>
    <t>High Contrast Disabled</t>
  </si>
  <si>
    <t>Alto Contraste Desactivado</t>
  </si>
  <si>
    <t>Contraste Élevé Désactivé</t>
  </si>
  <si>
    <t>Pequeno</t>
  </si>
  <si>
    <t>Small</t>
  </si>
  <si>
    <t>Pequeño</t>
  </si>
  <si>
    <t>Petit</t>
  </si>
  <si>
    <t>Padrão</t>
  </si>
  <si>
    <t>Default</t>
  </si>
  <si>
    <t>Estándar</t>
  </si>
  <si>
    <t>Par Défaut</t>
  </si>
  <si>
    <t>Grande</t>
  </si>
  <si>
    <t>Large</t>
  </si>
  <si>
    <t>Grand</t>
  </si>
  <si>
    <t>Tamanho das Legendas: Pequeno</t>
  </si>
  <si>
    <t>Small Subtitles Size</t>
  </si>
  <si>
    <t>Tamaño de los Subtítulos: Pequeño</t>
  </si>
  <si>
    <t>Petite Taille des Sous-titres</t>
  </si>
  <si>
    <t>Tamanho das Legendas: Padrão</t>
  </si>
  <si>
    <t>Default Subtitles Size</t>
  </si>
  <si>
    <t>Tamaño de los Subtítulos: Estándar</t>
  </si>
  <si>
    <t>Taille Par Défaut des Sous-titres</t>
  </si>
  <si>
    <t>Tamanho das Legendas: Grande</t>
  </si>
  <si>
    <t>Large Subtitles Size</t>
  </si>
  <si>
    <t>Tamaño de los Subtítulos: Grande</t>
  </si>
  <si>
    <t>Grands Taille des Sous-titres</t>
  </si>
  <si>
    <t>Tamanho da Interface: Pequeno</t>
  </si>
  <si>
    <t>Small Interface Size</t>
  </si>
  <si>
    <t>Tamaño de la Interfaz: Pequeño</t>
  </si>
  <si>
    <t>Petite Taille de l'interface</t>
  </si>
  <si>
    <t>Tamanho da Interface: Padrão</t>
  </si>
  <si>
    <t>Default Interface Size</t>
  </si>
  <si>
    <t>Tamaño de la Interfaz: Estándar</t>
  </si>
  <si>
    <t>Taille Par Défaut de l'interface</t>
  </si>
  <si>
    <t>Tamanho da Interface: Grande</t>
  </si>
  <si>
    <t>Large Interface Size</t>
  </si>
  <si>
    <t>Tamaño de la Interfaz: Grande</t>
  </si>
  <si>
    <t>Grands Taille de l'interface</t>
  </si>
  <si>
    <t>Intensidade Filtro de Daltonismo</t>
  </si>
  <si>
    <t>Velocidade de Fala do Leitor de Tela</t>
  </si>
  <si>
    <t>Bem Vindo, o leitor de tela pode ser ativado</t>
  </si>
  <si>
    <t>Bem Vindo</t>
  </si>
  <si>
    <t>Tamaño de la interfaz</t>
  </si>
  <si>
    <t>Taille de l’interface</t>
  </si>
  <si>
    <t>Predeterminado</t>
  </si>
  <si>
    <t>Par défaut</t>
  </si>
  <si>
    <t>Diminuida</t>
  </si>
  <si>
    <t>Diminuída</t>
  </si>
  <si>
    <t>Reduced</t>
  </si>
  <si>
    <t>Reducida</t>
  </si>
  <si>
    <t>Réduite</t>
  </si>
  <si>
    <t>Aumentada</t>
  </si>
  <si>
    <t>Increased</t>
  </si>
  <si>
    <t>Agrandie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</si>
</sst>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3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4" type="headerRow"/>
      <tableStyleElement dxfId="2" type="firstRowStripe"/>
      <tableStyleElement dxfId="4" type="secondRowStripe"/>
    </tableStyle>
    <tableStyle count="2" pivot="0" name="Página1-style 3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5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57:E119" displayName="Table_2" name="Table_2" id="2">
  <tableColumns count="5">
    <tableColumn name="NOVO JOGO" id="1"/>
    <tableColumn name="NOVO JOGO 2" id="2"/>
    <tableColumn name="NEW GAME" id="3"/>
    <tableColumn name="NUEVO JUEGO" id="4"/>
    <tableColumn name="NOUVEAU JEU" id="5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22:D125" displayName="Table_3" name="Table_3" id="3">
  <tableColumns count="2">
    <tableColumn name="Column1" id="1"/>
    <tableColumn name="Column2" id="2"/>
  </tableColumns>
  <tableStyleInfo name="Págin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  <col customWidth="1" min="6" max="12" width="12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G1" s="2"/>
      <c r="H1" s="2"/>
      <c r="I1" s="2"/>
      <c r="J1" s="2"/>
      <c r="K1" s="2"/>
    </row>
    <row r="2">
      <c r="A2" s="1" t="s">
        <v>4</v>
      </c>
      <c r="B2" s="3" t="str">
        <f t="shared" ref="B2:B56" si="1">A2</f>
        <v>Novo Jogo</v>
      </c>
      <c r="C2" s="1" t="s">
        <v>5</v>
      </c>
      <c r="D2" s="1" t="s">
        <v>6</v>
      </c>
      <c r="E2" s="1" t="s">
        <v>7</v>
      </c>
      <c r="G2" s="2"/>
      <c r="H2" s="2"/>
      <c r="I2" s="2"/>
      <c r="J2" s="2"/>
      <c r="K2" s="2"/>
    </row>
    <row r="3">
      <c r="A3" s="1" t="s">
        <v>8</v>
      </c>
      <c r="B3" s="3" t="str">
        <f t="shared" si="1"/>
        <v>Opções</v>
      </c>
      <c r="C3" s="1" t="s">
        <v>9</v>
      </c>
      <c r="D3" s="1" t="s">
        <v>10</v>
      </c>
      <c r="E3" s="1" t="s">
        <v>9</v>
      </c>
      <c r="G3" s="2"/>
      <c r="H3" s="2"/>
      <c r="I3" s="2"/>
      <c r="J3" s="2"/>
      <c r="K3" s="2"/>
    </row>
    <row r="4">
      <c r="A4" s="1" t="s">
        <v>11</v>
      </c>
      <c r="B4" s="3" t="str">
        <f t="shared" si="1"/>
        <v>Sair</v>
      </c>
      <c r="C4" s="1" t="s">
        <v>12</v>
      </c>
      <c r="D4" s="1" t="s">
        <v>13</v>
      </c>
      <c r="E4" s="1" t="s">
        <v>14</v>
      </c>
      <c r="G4" s="2"/>
      <c r="H4" s="2"/>
      <c r="I4" s="2"/>
      <c r="J4" s="2"/>
      <c r="K4" s="2"/>
    </row>
    <row r="5">
      <c r="A5" s="1" t="s">
        <v>15</v>
      </c>
      <c r="B5" s="3" t="str">
        <f t="shared" si="1"/>
        <v>Idioma</v>
      </c>
      <c r="C5" s="1" t="s">
        <v>16</v>
      </c>
      <c r="D5" s="1" t="s">
        <v>15</v>
      </c>
      <c r="E5" s="1" t="s">
        <v>17</v>
      </c>
      <c r="G5" s="2"/>
      <c r="H5" s="2"/>
      <c r="I5" s="2"/>
      <c r="J5" s="2"/>
      <c r="K5" s="2"/>
    </row>
    <row r="6">
      <c r="A6" s="1" t="s">
        <v>18</v>
      </c>
      <c r="B6" s="3" t="str">
        <f t="shared" si="1"/>
        <v>Português</v>
      </c>
      <c r="C6" s="1" t="s">
        <v>19</v>
      </c>
      <c r="D6" s="1" t="s">
        <v>20</v>
      </c>
      <c r="E6" s="1" t="s">
        <v>21</v>
      </c>
      <c r="G6" s="2"/>
      <c r="H6" s="2"/>
      <c r="I6" s="2"/>
      <c r="J6" s="2"/>
      <c r="K6" s="2"/>
    </row>
    <row r="7">
      <c r="A7" s="1" t="s">
        <v>22</v>
      </c>
      <c r="B7" s="3" t="str">
        <f t="shared" si="1"/>
        <v>Inglês</v>
      </c>
      <c r="C7" s="1" t="s">
        <v>23</v>
      </c>
      <c r="D7" s="1" t="s">
        <v>24</v>
      </c>
      <c r="E7" s="1" t="s">
        <v>25</v>
      </c>
      <c r="G7" s="2"/>
      <c r="H7" s="2"/>
      <c r="I7" s="2"/>
      <c r="J7" s="2"/>
      <c r="K7" s="4"/>
    </row>
    <row r="8">
      <c r="A8" s="1" t="s">
        <v>26</v>
      </c>
      <c r="B8" s="3" t="str">
        <f t="shared" si="1"/>
        <v>Espanhol</v>
      </c>
      <c r="C8" s="1" t="s">
        <v>27</v>
      </c>
      <c r="D8" s="1" t="s">
        <v>28</v>
      </c>
      <c r="E8" s="1" t="s">
        <v>29</v>
      </c>
      <c r="G8" s="2"/>
      <c r="H8" s="2"/>
      <c r="I8" s="2"/>
      <c r="J8" s="2"/>
      <c r="K8" s="2"/>
    </row>
    <row r="9">
      <c r="A9" s="1" t="s">
        <v>30</v>
      </c>
      <c r="B9" s="3" t="str">
        <f t="shared" si="1"/>
        <v>Francês</v>
      </c>
      <c r="C9" s="1" t="s">
        <v>31</v>
      </c>
      <c r="D9" s="1" t="s">
        <v>32</v>
      </c>
      <c r="E9" s="1" t="s">
        <v>33</v>
      </c>
      <c r="G9" s="2"/>
      <c r="H9" s="2"/>
      <c r="I9" s="2"/>
      <c r="J9" s="2"/>
      <c r="K9" s="2"/>
    </row>
    <row r="10">
      <c r="A10" s="1" t="s">
        <v>34</v>
      </c>
      <c r="B10" s="3" t="str">
        <f t="shared" si="1"/>
        <v>Volume</v>
      </c>
      <c r="C10" s="1" t="s">
        <v>34</v>
      </c>
      <c r="D10" s="1" t="s">
        <v>35</v>
      </c>
      <c r="E10" s="1" t="s">
        <v>34</v>
      </c>
      <c r="G10" s="2"/>
      <c r="H10" s="2"/>
      <c r="I10" s="2"/>
      <c r="J10" s="2"/>
      <c r="K10" s="2"/>
    </row>
    <row r="11">
      <c r="A11" s="1" t="s">
        <v>36</v>
      </c>
      <c r="B11" s="3" t="str">
        <f t="shared" si="1"/>
        <v>Configurações de Volume</v>
      </c>
      <c r="C11" s="1" t="s">
        <v>37</v>
      </c>
      <c r="D11" s="1" t="s">
        <v>38</v>
      </c>
      <c r="E11" s="1" t="s">
        <v>39</v>
      </c>
      <c r="G11" s="2"/>
      <c r="H11" s="2"/>
      <c r="I11" s="2"/>
      <c r="J11" s="2"/>
      <c r="K11" s="2"/>
    </row>
    <row r="12">
      <c r="A12" s="1" t="s">
        <v>40</v>
      </c>
      <c r="B12" s="3" t="str">
        <f t="shared" si="1"/>
        <v>Música</v>
      </c>
      <c r="C12" s="1" t="s">
        <v>41</v>
      </c>
      <c r="D12" s="1" t="s">
        <v>40</v>
      </c>
      <c r="E12" s="1" t="s">
        <v>42</v>
      </c>
      <c r="G12" s="2"/>
      <c r="H12" s="2"/>
      <c r="I12" s="2"/>
      <c r="J12" s="2"/>
      <c r="K12" s="2"/>
    </row>
    <row r="13">
      <c r="A13" s="1" t="s">
        <v>43</v>
      </c>
      <c r="B13" s="3" t="str">
        <f t="shared" si="1"/>
        <v>Ambiente</v>
      </c>
      <c r="C13" s="1" t="s">
        <v>44</v>
      </c>
      <c r="D13" s="1" t="s">
        <v>43</v>
      </c>
      <c r="E13" s="1" t="s">
        <v>45</v>
      </c>
      <c r="G13" s="2"/>
      <c r="H13" s="2"/>
      <c r="I13" s="2"/>
      <c r="J13" s="2"/>
      <c r="K13" s="4"/>
    </row>
    <row r="14">
      <c r="A14" s="1" t="s">
        <v>46</v>
      </c>
      <c r="B14" s="3" t="str">
        <f t="shared" si="1"/>
        <v>Controles</v>
      </c>
      <c r="C14" s="1" t="s">
        <v>47</v>
      </c>
      <c r="D14" s="1" t="s">
        <v>46</v>
      </c>
      <c r="E14" s="1" t="s">
        <v>48</v>
      </c>
      <c r="G14" s="2"/>
      <c r="H14" s="2"/>
      <c r="I14" s="2"/>
      <c r="J14" s="2"/>
      <c r="K14" s="2"/>
    </row>
    <row r="15">
      <c r="A15" s="1" t="s">
        <v>49</v>
      </c>
      <c r="B15" s="3" t="str">
        <f t="shared" si="1"/>
        <v>Interface</v>
      </c>
      <c r="C15" s="1" t="s">
        <v>49</v>
      </c>
      <c r="D15" s="1" t="s">
        <v>50</v>
      </c>
      <c r="E15" s="1" t="s">
        <v>49</v>
      </c>
      <c r="G15" s="2"/>
      <c r="H15" s="2"/>
      <c r="I15" s="2"/>
      <c r="J15" s="2"/>
      <c r="K15" s="2"/>
    </row>
    <row r="16">
      <c r="A16" s="1" t="s">
        <v>51</v>
      </c>
      <c r="B16" s="3" t="str">
        <f t="shared" si="1"/>
        <v>Tela Cheia</v>
      </c>
      <c r="C16" s="1" t="s">
        <v>52</v>
      </c>
      <c r="D16" s="1" t="s">
        <v>53</v>
      </c>
      <c r="E16" s="1" t="s">
        <v>54</v>
      </c>
      <c r="G16" s="2"/>
      <c r="H16" s="2"/>
      <c r="I16" s="2"/>
      <c r="J16" s="2"/>
      <c r="K16" s="2"/>
    </row>
    <row r="17">
      <c r="A17" s="1" t="s">
        <v>55</v>
      </c>
      <c r="B17" s="3" t="str">
        <f t="shared" si="1"/>
        <v>Mostrar FPS</v>
      </c>
      <c r="C17" s="1" t="s">
        <v>56</v>
      </c>
      <c r="D17" s="1" t="s">
        <v>55</v>
      </c>
      <c r="E17" s="1" t="s">
        <v>57</v>
      </c>
      <c r="G17" s="2"/>
      <c r="H17" s="2"/>
      <c r="I17" s="2"/>
      <c r="J17" s="2"/>
      <c r="K17" s="2"/>
    </row>
    <row r="18">
      <c r="A18" s="1" t="s">
        <v>58</v>
      </c>
      <c r="B18" s="3" t="str">
        <f t="shared" si="1"/>
        <v>Limite de FPS</v>
      </c>
      <c r="C18" s="1" t="s">
        <v>59</v>
      </c>
      <c r="D18" s="1" t="s">
        <v>60</v>
      </c>
      <c r="E18" s="1" t="s">
        <v>58</v>
      </c>
      <c r="G18" s="2"/>
      <c r="H18" s="2"/>
      <c r="I18" s="2"/>
      <c r="J18" s="2"/>
      <c r="K18" s="2"/>
    </row>
    <row r="19">
      <c r="A19" s="1" t="s">
        <v>61</v>
      </c>
      <c r="B19" s="3" t="str">
        <f t="shared" si="1"/>
        <v>Acessibilidade</v>
      </c>
      <c r="C19" s="1" t="s">
        <v>62</v>
      </c>
      <c r="D19" s="1" t="s">
        <v>63</v>
      </c>
      <c r="E19" s="1" t="s">
        <v>64</v>
      </c>
      <c r="G19" s="2"/>
      <c r="H19" s="2"/>
      <c r="I19" s="2"/>
      <c r="J19" s="2"/>
      <c r="K19" s="2"/>
    </row>
    <row r="20">
      <c r="A20" s="1" t="s">
        <v>65</v>
      </c>
      <c r="B20" s="3" t="str">
        <f t="shared" si="1"/>
        <v>Filtro de Daltonismo</v>
      </c>
      <c r="C20" s="1" t="s">
        <v>66</v>
      </c>
      <c r="D20" s="1" t="s">
        <v>65</v>
      </c>
      <c r="E20" s="1" t="s">
        <v>67</v>
      </c>
      <c r="G20" s="2"/>
      <c r="H20" s="2"/>
      <c r="I20" s="2"/>
      <c r="J20" s="2"/>
      <c r="K20" s="2"/>
    </row>
    <row r="21">
      <c r="A21" s="1" t="s">
        <v>68</v>
      </c>
      <c r="B21" s="3" t="str">
        <f t="shared" si="1"/>
        <v>Desligado</v>
      </c>
      <c r="C21" s="1" t="s">
        <v>69</v>
      </c>
      <c r="D21" s="1" t="s">
        <v>70</v>
      </c>
      <c r="E21" s="1" t="s">
        <v>71</v>
      </c>
      <c r="G21" s="2"/>
      <c r="H21" s="2"/>
      <c r="I21" s="2"/>
      <c r="J21" s="2"/>
      <c r="K21" s="2"/>
    </row>
    <row r="22">
      <c r="A22" s="1" t="s">
        <v>72</v>
      </c>
      <c r="B22" s="3" t="str">
        <f t="shared" si="1"/>
        <v>Ligado</v>
      </c>
      <c r="C22" s="1" t="s">
        <v>73</v>
      </c>
      <c r="D22" s="1" t="s">
        <v>74</v>
      </c>
      <c r="E22" s="1" t="s">
        <v>75</v>
      </c>
      <c r="G22" s="2"/>
      <c r="H22" s="2"/>
      <c r="I22" s="2"/>
      <c r="J22" s="2"/>
      <c r="K22" s="2"/>
    </row>
    <row r="23">
      <c r="A23" s="1" t="s">
        <v>76</v>
      </c>
      <c r="B23" s="3" t="str">
        <f t="shared" si="1"/>
        <v>Intensidade</v>
      </c>
      <c r="C23" s="1" t="s">
        <v>77</v>
      </c>
      <c r="D23" s="1" t="s">
        <v>78</v>
      </c>
      <c r="E23" s="1" t="s">
        <v>79</v>
      </c>
      <c r="G23" s="2"/>
      <c r="H23" s="2"/>
      <c r="I23" s="2"/>
      <c r="J23" s="5"/>
      <c r="K23" s="5"/>
    </row>
    <row r="24">
      <c r="A24" s="1" t="s">
        <v>80</v>
      </c>
      <c r="B24" s="3" t="str">
        <f t="shared" si="1"/>
        <v>Legendas</v>
      </c>
      <c r="C24" s="1" t="s">
        <v>81</v>
      </c>
      <c r="D24" s="1" t="s">
        <v>82</v>
      </c>
      <c r="E24" s="1" t="s">
        <v>83</v>
      </c>
      <c r="G24" s="2"/>
      <c r="H24" s="2"/>
      <c r="I24" s="2"/>
      <c r="J24" s="5"/>
      <c r="K24" s="5"/>
    </row>
    <row r="25">
      <c r="A25" s="1" t="s">
        <v>84</v>
      </c>
      <c r="B25" s="3" t="str">
        <f t="shared" si="1"/>
        <v>Tamanho</v>
      </c>
      <c r="C25" s="1" t="s">
        <v>85</v>
      </c>
      <c r="D25" s="1" t="s">
        <v>86</v>
      </c>
      <c r="E25" s="1" t="s">
        <v>87</v>
      </c>
      <c r="G25" s="2"/>
      <c r="H25" s="2"/>
      <c r="I25" s="2"/>
      <c r="J25" s="5"/>
      <c r="K25" s="5"/>
    </row>
    <row r="26">
      <c r="A26" s="1" t="s">
        <v>88</v>
      </c>
      <c r="B26" s="3" t="str">
        <f t="shared" si="1"/>
        <v>Minutos</v>
      </c>
      <c r="C26" s="1" t="s">
        <v>89</v>
      </c>
      <c r="D26" s="1" t="s">
        <v>90</v>
      </c>
      <c r="E26" s="1" t="s">
        <v>89</v>
      </c>
      <c r="G26" s="2"/>
      <c r="H26" s="2"/>
      <c r="I26" s="2"/>
      <c r="J26" s="5"/>
      <c r="K26" s="5"/>
    </row>
    <row r="27">
      <c r="A27" s="1" t="s">
        <v>91</v>
      </c>
      <c r="B27" s="3" t="str">
        <f t="shared" si="1"/>
        <v>Leitor de Tela</v>
      </c>
      <c r="C27" s="1" t="s">
        <v>92</v>
      </c>
      <c r="D27" s="1" t="s">
        <v>93</v>
      </c>
      <c r="E27" s="1" t="s">
        <v>94</v>
      </c>
      <c r="G27" s="2"/>
      <c r="H27" s="2"/>
      <c r="I27" s="2"/>
      <c r="J27" s="5"/>
      <c r="K27" s="5"/>
    </row>
    <row r="28">
      <c r="A28" s="1" t="s">
        <v>95</v>
      </c>
      <c r="B28" s="3" t="str">
        <f t="shared" si="1"/>
        <v>Velocidade</v>
      </c>
      <c r="C28" s="1" t="s">
        <v>96</v>
      </c>
      <c r="D28" s="1" t="s">
        <v>97</v>
      </c>
      <c r="E28" s="1" t="s">
        <v>98</v>
      </c>
      <c r="G28" s="2"/>
      <c r="H28" s="2"/>
      <c r="I28" s="2"/>
      <c r="J28" s="5"/>
      <c r="K28" s="5"/>
    </row>
    <row r="29">
      <c r="A29" s="1" t="s">
        <v>99</v>
      </c>
      <c r="B29" s="3" t="str">
        <f t="shared" si="1"/>
        <v>Alto Contraste</v>
      </c>
      <c r="C29" s="1" t="s">
        <v>100</v>
      </c>
      <c r="D29" s="1" t="s">
        <v>99</v>
      </c>
      <c r="E29" s="1" t="s">
        <v>101</v>
      </c>
      <c r="G29" s="2"/>
      <c r="H29" s="2"/>
      <c r="I29" s="2"/>
      <c r="J29" s="5"/>
      <c r="K29" s="5"/>
    </row>
    <row r="30">
      <c r="A30" s="1" t="s">
        <v>102</v>
      </c>
      <c r="B30" s="3" t="str">
        <f t="shared" si="1"/>
        <v>Voltar</v>
      </c>
      <c r="C30" s="1" t="s">
        <v>103</v>
      </c>
      <c r="D30" s="1" t="s">
        <v>104</v>
      </c>
      <c r="E30" s="1" t="s">
        <v>105</v>
      </c>
      <c r="G30" s="2"/>
      <c r="H30" s="2"/>
      <c r="I30" s="2"/>
      <c r="J30" s="5"/>
      <c r="K30" s="5"/>
    </row>
    <row r="31">
      <c r="A31" s="1" t="s">
        <v>106</v>
      </c>
      <c r="B31" s="3" t="str">
        <f t="shared" si="1"/>
        <v>Tamanho da Interface</v>
      </c>
      <c r="C31" s="1" t="s">
        <v>107</v>
      </c>
      <c r="D31" s="1" t="s">
        <v>108</v>
      </c>
      <c r="E31" s="1" t="s">
        <v>109</v>
      </c>
      <c r="G31" s="2"/>
      <c r="H31" s="2"/>
      <c r="I31" s="2"/>
      <c r="J31" s="5"/>
      <c r="K31" s="5"/>
    </row>
    <row r="32">
      <c r="A32" s="1" t="s">
        <v>110</v>
      </c>
      <c r="B32" s="3" t="str">
        <f t="shared" si="1"/>
        <v>Opções de Volume</v>
      </c>
      <c r="C32" s="1" t="s">
        <v>37</v>
      </c>
      <c r="D32" s="1" t="s">
        <v>38</v>
      </c>
      <c r="E32" s="1" t="s">
        <v>39</v>
      </c>
      <c r="G32" s="2"/>
      <c r="H32" s="2"/>
      <c r="I32" s="2"/>
      <c r="J32" s="5"/>
      <c r="K32" s="5"/>
    </row>
    <row r="33">
      <c r="A33" s="1" t="s">
        <v>111</v>
      </c>
      <c r="B33" s="3" t="str">
        <f t="shared" si="1"/>
        <v>Opções de Controles</v>
      </c>
      <c r="C33" s="1" t="s">
        <v>112</v>
      </c>
      <c r="D33" s="1" t="s">
        <v>113</v>
      </c>
      <c r="E33" s="1" t="s">
        <v>114</v>
      </c>
      <c r="G33" s="2"/>
      <c r="H33" s="2"/>
      <c r="I33" s="2"/>
      <c r="J33" s="5"/>
      <c r="K33" s="5"/>
    </row>
    <row r="34">
      <c r="A34" s="1" t="s">
        <v>115</v>
      </c>
      <c r="B34" s="3" t="str">
        <f t="shared" si="1"/>
        <v>Opções de Interface</v>
      </c>
      <c r="C34" s="1" t="s">
        <v>116</v>
      </c>
      <c r="D34" s="1" t="s">
        <v>117</v>
      </c>
      <c r="E34" s="1" t="s">
        <v>118</v>
      </c>
      <c r="G34" s="2"/>
      <c r="H34" s="2"/>
      <c r="I34" s="2"/>
      <c r="J34" s="5"/>
      <c r="K34" s="5"/>
    </row>
    <row r="35">
      <c r="A35" s="1" t="s">
        <v>119</v>
      </c>
      <c r="B35" s="3" t="str">
        <f t="shared" si="1"/>
        <v>Opções de Acessibilidade</v>
      </c>
      <c r="C35" s="1" t="s">
        <v>120</v>
      </c>
      <c r="D35" s="1" t="s">
        <v>121</v>
      </c>
      <c r="E35" s="1" t="s">
        <v>122</v>
      </c>
      <c r="G35" s="2"/>
      <c r="H35" s="2"/>
      <c r="I35" s="2"/>
      <c r="J35" s="5"/>
      <c r="K35" s="5"/>
    </row>
    <row r="36">
      <c r="A36" s="6" t="s">
        <v>123</v>
      </c>
      <c r="B36" s="3" t="str">
        <f t="shared" si="1"/>
        <v>Tela Cheia Ativada</v>
      </c>
      <c r="C36" s="6" t="s">
        <v>124</v>
      </c>
      <c r="D36" s="6" t="s">
        <v>125</v>
      </c>
      <c r="E36" s="6" t="s">
        <v>126</v>
      </c>
      <c r="G36" s="2"/>
      <c r="H36" s="2"/>
      <c r="I36" s="2"/>
      <c r="J36" s="5"/>
      <c r="K36" s="5"/>
    </row>
    <row r="37">
      <c r="A37" s="6" t="s">
        <v>127</v>
      </c>
      <c r="B37" s="3" t="str">
        <f t="shared" si="1"/>
        <v>Tela Cheia Desativada</v>
      </c>
      <c r="C37" s="6" t="s">
        <v>128</v>
      </c>
      <c r="D37" s="6" t="s">
        <v>129</v>
      </c>
      <c r="E37" s="6" t="s">
        <v>130</v>
      </c>
      <c r="G37" s="2"/>
      <c r="H37" s="2"/>
      <c r="I37" s="2"/>
      <c r="J37" s="5"/>
      <c r="K37" s="5"/>
    </row>
    <row r="38">
      <c r="A38" s="6" t="s">
        <v>131</v>
      </c>
      <c r="B38" s="3" t="str">
        <f t="shared" si="1"/>
        <v>Mostrar FPS Ativado</v>
      </c>
      <c r="C38" s="6" t="s">
        <v>132</v>
      </c>
      <c r="D38" s="6" t="s">
        <v>133</v>
      </c>
      <c r="E38" s="6" t="s">
        <v>134</v>
      </c>
      <c r="G38" s="2"/>
      <c r="H38" s="2"/>
      <c r="I38" s="2"/>
      <c r="J38" s="5"/>
      <c r="K38" s="5"/>
    </row>
    <row r="39">
      <c r="A39" s="6" t="s">
        <v>135</v>
      </c>
      <c r="B39" s="3" t="str">
        <f t="shared" si="1"/>
        <v>Mostrar FPS Desativado</v>
      </c>
      <c r="C39" s="6" t="s">
        <v>136</v>
      </c>
      <c r="D39" s="6" t="s">
        <v>133</v>
      </c>
      <c r="E39" s="6" t="s">
        <v>137</v>
      </c>
      <c r="G39" s="2"/>
      <c r="H39" s="2"/>
      <c r="I39" s="2"/>
      <c r="J39" s="5"/>
      <c r="K39" s="5"/>
    </row>
    <row r="40">
      <c r="A40" s="6" t="s">
        <v>138</v>
      </c>
      <c r="B40" s="3" t="str">
        <f t="shared" si="1"/>
        <v>Filtro de Daltonismo Ativado</v>
      </c>
      <c r="C40" s="6" t="s">
        <v>139</v>
      </c>
      <c r="D40" s="6" t="s">
        <v>140</v>
      </c>
      <c r="E40" s="6" t="s">
        <v>141</v>
      </c>
      <c r="G40" s="2"/>
      <c r="H40" s="2"/>
      <c r="I40" s="2"/>
      <c r="J40" s="5"/>
      <c r="K40" s="5"/>
    </row>
    <row r="41">
      <c r="A41" s="6" t="s">
        <v>142</v>
      </c>
      <c r="B41" s="3" t="str">
        <f t="shared" si="1"/>
        <v>Filtro de Daltonismo Destivado</v>
      </c>
      <c r="C41" s="6" t="s">
        <v>143</v>
      </c>
      <c r="D41" s="6" t="s">
        <v>144</v>
      </c>
      <c r="E41" s="6" t="s">
        <v>145</v>
      </c>
      <c r="G41" s="2"/>
      <c r="H41" s="2"/>
      <c r="I41" s="2"/>
      <c r="J41" s="5"/>
      <c r="K41" s="5"/>
    </row>
    <row r="42">
      <c r="A42" s="6" t="s">
        <v>146</v>
      </c>
      <c r="B42" s="3" t="str">
        <f t="shared" si="1"/>
        <v>Legendas Ligadas</v>
      </c>
      <c r="C42" s="6" t="s">
        <v>147</v>
      </c>
      <c r="D42" s="6" t="s">
        <v>148</v>
      </c>
      <c r="E42" s="6" t="s">
        <v>149</v>
      </c>
      <c r="G42" s="2"/>
      <c r="H42" s="2"/>
      <c r="I42" s="2"/>
      <c r="J42" s="5"/>
      <c r="K42" s="5"/>
    </row>
    <row r="43">
      <c r="A43" s="6" t="s">
        <v>150</v>
      </c>
      <c r="B43" s="3" t="str">
        <f t="shared" si="1"/>
        <v>Legendas Desligadas</v>
      </c>
      <c r="C43" s="6" t="s">
        <v>151</v>
      </c>
      <c r="D43" s="6" t="s">
        <v>152</v>
      </c>
      <c r="E43" s="6" t="s">
        <v>153</v>
      </c>
      <c r="G43" s="2"/>
      <c r="H43" s="2"/>
      <c r="I43" s="2"/>
      <c r="J43" s="5"/>
      <c r="K43" s="5"/>
    </row>
    <row r="44">
      <c r="A44" s="6" t="s">
        <v>154</v>
      </c>
      <c r="B44" s="3" t="str">
        <f t="shared" si="1"/>
        <v>Leitor de Tela Ativado</v>
      </c>
      <c r="C44" s="6" t="s">
        <v>155</v>
      </c>
      <c r="D44" s="6" t="s">
        <v>156</v>
      </c>
      <c r="E44" s="6" t="s">
        <v>157</v>
      </c>
      <c r="G44" s="2"/>
      <c r="H44" s="2"/>
      <c r="I44" s="2"/>
      <c r="J44" s="5"/>
      <c r="K44" s="5"/>
    </row>
    <row r="45">
      <c r="A45" s="6" t="s">
        <v>158</v>
      </c>
      <c r="B45" s="3" t="str">
        <f t="shared" si="1"/>
        <v>Leitor de Tela Desativado</v>
      </c>
      <c r="C45" s="6" t="s">
        <v>159</v>
      </c>
      <c r="D45" s="6" t="s">
        <v>160</v>
      </c>
      <c r="E45" s="6" t="s">
        <v>161</v>
      </c>
      <c r="G45" s="2"/>
      <c r="H45" s="2"/>
      <c r="I45" s="2"/>
      <c r="J45" s="5"/>
      <c r="K45" s="5"/>
    </row>
    <row r="46">
      <c r="A46" s="6" t="s">
        <v>162</v>
      </c>
      <c r="B46" s="3" t="str">
        <f t="shared" si="1"/>
        <v>Alto Contraste Ligado</v>
      </c>
      <c r="C46" s="6" t="s">
        <v>163</v>
      </c>
      <c r="D46" s="6" t="s">
        <v>164</v>
      </c>
      <c r="E46" s="6" t="s">
        <v>165</v>
      </c>
      <c r="G46" s="2"/>
      <c r="H46" s="2"/>
      <c r="I46" s="2"/>
      <c r="J46" s="5"/>
      <c r="K46" s="5"/>
    </row>
    <row r="47">
      <c r="A47" s="6" t="s">
        <v>166</v>
      </c>
      <c r="B47" s="3" t="str">
        <f t="shared" si="1"/>
        <v>Alto Contraste Desligado</v>
      </c>
      <c r="C47" s="6" t="s">
        <v>167</v>
      </c>
      <c r="D47" s="6" t="s">
        <v>168</v>
      </c>
      <c r="E47" s="6" t="s">
        <v>169</v>
      </c>
      <c r="G47" s="2"/>
      <c r="H47" s="2"/>
      <c r="I47" s="2"/>
      <c r="J47" s="5"/>
      <c r="K47" s="5"/>
    </row>
    <row r="48">
      <c r="A48" s="6" t="s">
        <v>170</v>
      </c>
      <c r="B48" s="3" t="str">
        <f t="shared" si="1"/>
        <v>Pequeno</v>
      </c>
      <c r="C48" s="6" t="s">
        <v>171</v>
      </c>
      <c r="D48" s="6" t="s">
        <v>172</v>
      </c>
      <c r="E48" s="6" t="s">
        <v>173</v>
      </c>
      <c r="G48" s="2"/>
      <c r="H48" s="2"/>
      <c r="I48" s="2"/>
      <c r="J48" s="5"/>
      <c r="K48" s="5"/>
    </row>
    <row r="49">
      <c r="A49" s="6" t="s">
        <v>174</v>
      </c>
      <c r="B49" s="3" t="str">
        <f t="shared" si="1"/>
        <v>Padrão</v>
      </c>
      <c r="C49" s="6" t="s">
        <v>175</v>
      </c>
      <c r="D49" s="6" t="s">
        <v>176</v>
      </c>
      <c r="E49" s="6" t="s">
        <v>177</v>
      </c>
      <c r="G49" s="2"/>
      <c r="H49" s="2"/>
      <c r="I49" s="2"/>
      <c r="J49" s="5"/>
      <c r="K49" s="5"/>
    </row>
    <row r="50">
      <c r="A50" s="6" t="s">
        <v>178</v>
      </c>
      <c r="B50" s="3" t="str">
        <f t="shared" si="1"/>
        <v>Grande</v>
      </c>
      <c r="C50" s="6" t="s">
        <v>179</v>
      </c>
      <c r="D50" s="6" t="s">
        <v>178</v>
      </c>
      <c r="E50" s="6" t="s">
        <v>180</v>
      </c>
      <c r="G50" s="2"/>
      <c r="H50" s="2"/>
      <c r="I50" s="2"/>
      <c r="J50" s="5"/>
      <c r="K50" s="5"/>
    </row>
    <row r="51">
      <c r="A51" s="6" t="s">
        <v>181</v>
      </c>
      <c r="B51" s="3" t="str">
        <f t="shared" si="1"/>
        <v>Tamanho das Legendas: Pequeno</v>
      </c>
      <c r="C51" s="6" t="s">
        <v>182</v>
      </c>
      <c r="D51" s="6" t="s">
        <v>183</v>
      </c>
      <c r="E51" s="6" t="s">
        <v>184</v>
      </c>
      <c r="G51" s="2"/>
      <c r="H51" s="2"/>
      <c r="I51" s="2"/>
      <c r="J51" s="5"/>
      <c r="K51" s="5"/>
    </row>
    <row r="52">
      <c r="A52" s="6" t="s">
        <v>185</v>
      </c>
      <c r="B52" s="3" t="str">
        <f t="shared" si="1"/>
        <v>Tamanho das Legendas: Padrão</v>
      </c>
      <c r="C52" s="6" t="s">
        <v>186</v>
      </c>
      <c r="D52" s="6" t="s">
        <v>187</v>
      </c>
      <c r="E52" s="6" t="s">
        <v>188</v>
      </c>
      <c r="G52" s="2"/>
      <c r="H52" s="2"/>
      <c r="I52" s="2"/>
      <c r="J52" s="5"/>
      <c r="K52" s="5"/>
    </row>
    <row r="53">
      <c r="A53" s="6" t="s">
        <v>189</v>
      </c>
      <c r="B53" s="3" t="str">
        <f t="shared" si="1"/>
        <v>Tamanho das Legendas: Grande</v>
      </c>
      <c r="C53" s="6" t="s">
        <v>190</v>
      </c>
      <c r="D53" s="6" t="s">
        <v>191</v>
      </c>
      <c r="E53" s="6" t="s">
        <v>192</v>
      </c>
      <c r="G53" s="2"/>
      <c r="H53" s="2"/>
      <c r="I53" s="2"/>
      <c r="J53" s="5"/>
      <c r="K53" s="5"/>
    </row>
    <row r="54">
      <c r="A54" s="6" t="s">
        <v>193</v>
      </c>
      <c r="B54" s="3" t="str">
        <f t="shared" si="1"/>
        <v>Tamanho da Interface: Pequeno</v>
      </c>
      <c r="C54" s="6" t="s">
        <v>194</v>
      </c>
      <c r="D54" s="6" t="s">
        <v>195</v>
      </c>
      <c r="E54" s="6" t="s">
        <v>196</v>
      </c>
      <c r="G54" s="2"/>
      <c r="H54" s="2"/>
      <c r="I54" s="2"/>
      <c r="J54" s="5"/>
      <c r="K54" s="5"/>
    </row>
    <row r="55">
      <c r="A55" s="6" t="s">
        <v>197</v>
      </c>
      <c r="B55" s="3" t="str">
        <f t="shared" si="1"/>
        <v>Tamanho da Interface: Padrão</v>
      </c>
      <c r="C55" s="6" t="s">
        <v>198</v>
      </c>
      <c r="D55" s="6" t="s">
        <v>199</v>
      </c>
      <c r="E55" s="6" t="s">
        <v>200</v>
      </c>
      <c r="G55" s="2"/>
      <c r="H55" s="2"/>
      <c r="I55" s="2"/>
      <c r="J55" s="5"/>
      <c r="K55" s="5"/>
    </row>
    <row r="56">
      <c r="A56" s="6" t="s">
        <v>201</v>
      </c>
      <c r="B56" s="3" t="str">
        <f t="shared" si="1"/>
        <v>Tamanho da Interface: Grande</v>
      </c>
      <c r="C56" s="6" t="s">
        <v>202</v>
      </c>
      <c r="D56" s="6" t="s">
        <v>203</v>
      </c>
      <c r="E56" s="6" t="s">
        <v>204</v>
      </c>
      <c r="G56" s="2"/>
      <c r="H56" s="2"/>
      <c r="I56" s="2"/>
      <c r="J56" s="5"/>
      <c r="K56" s="5"/>
    </row>
    <row r="57">
      <c r="A57" s="3" t="str">
        <f t="shared" ref="A57:E57" si="2">UPPER(A2)</f>
        <v>NOVO JOGO</v>
      </c>
      <c r="B57" s="3" t="str">
        <f t="shared" si="2"/>
        <v>NOVO JOGO</v>
      </c>
      <c r="C57" s="3" t="str">
        <f t="shared" si="2"/>
        <v>NEW GAME</v>
      </c>
      <c r="D57" s="3" t="str">
        <f t="shared" si="2"/>
        <v>NUEVO JUEGO</v>
      </c>
      <c r="E57" s="3" t="str">
        <f t="shared" si="2"/>
        <v>NOUVEAU JEU</v>
      </c>
      <c r="G57" s="2"/>
      <c r="H57" s="2"/>
      <c r="I57" s="2"/>
      <c r="J57" s="5"/>
      <c r="K57" s="5"/>
    </row>
    <row r="58">
      <c r="A58" s="3" t="str">
        <f t="shared" ref="A58:E58" si="3">UPPER(A3)</f>
        <v>OPÇÕES</v>
      </c>
      <c r="B58" s="3" t="str">
        <f t="shared" si="3"/>
        <v>OPÇÕES</v>
      </c>
      <c r="C58" s="3" t="str">
        <f t="shared" si="3"/>
        <v>OPTIONS</v>
      </c>
      <c r="D58" s="3" t="str">
        <f t="shared" si="3"/>
        <v>OPCIONES</v>
      </c>
      <c r="E58" s="3" t="str">
        <f t="shared" si="3"/>
        <v>OPTIONS</v>
      </c>
      <c r="G58" s="2"/>
      <c r="H58" s="2"/>
      <c r="I58" s="2"/>
      <c r="J58" s="5"/>
      <c r="K58" s="5"/>
    </row>
    <row r="59">
      <c r="A59" s="3" t="str">
        <f t="shared" ref="A59:E59" si="4">UPPER(A4)</f>
        <v>SAIR</v>
      </c>
      <c r="B59" s="3" t="str">
        <f t="shared" si="4"/>
        <v>SAIR</v>
      </c>
      <c r="C59" s="3" t="str">
        <f t="shared" si="4"/>
        <v>EXIT</v>
      </c>
      <c r="D59" s="3" t="str">
        <f t="shared" si="4"/>
        <v>SALIR</v>
      </c>
      <c r="E59" s="3" t="str">
        <f t="shared" si="4"/>
        <v>QUITTER</v>
      </c>
      <c r="G59" s="2"/>
      <c r="H59" s="2"/>
      <c r="I59" s="2"/>
      <c r="J59" s="5"/>
      <c r="K59" s="5"/>
    </row>
    <row r="60">
      <c r="A60" s="3" t="str">
        <f t="shared" ref="A60:E60" si="5">UPPER(A5)</f>
        <v>IDIOMA</v>
      </c>
      <c r="B60" s="3" t="str">
        <f t="shared" si="5"/>
        <v>IDIOMA</v>
      </c>
      <c r="C60" s="3" t="str">
        <f t="shared" si="5"/>
        <v>LANGUAGE</v>
      </c>
      <c r="D60" s="3" t="str">
        <f t="shared" si="5"/>
        <v>IDIOMA</v>
      </c>
      <c r="E60" s="3" t="str">
        <f t="shared" si="5"/>
        <v>LANGUE</v>
      </c>
      <c r="G60" s="2"/>
      <c r="H60" s="2"/>
      <c r="I60" s="2"/>
      <c r="J60" s="5"/>
      <c r="K60" s="5"/>
    </row>
    <row r="61">
      <c r="A61" s="3" t="str">
        <f t="shared" ref="A61:E61" si="6">UPPER(A6)</f>
        <v>PORTUGUÊS</v>
      </c>
      <c r="B61" s="3" t="str">
        <f t="shared" si="6"/>
        <v>PORTUGUÊS</v>
      </c>
      <c r="C61" s="3" t="str">
        <f t="shared" si="6"/>
        <v>PORTUGUESE</v>
      </c>
      <c r="D61" s="3" t="str">
        <f t="shared" si="6"/>
        <v>PORTUGUÉS</v>
      </c>
      <c r="E61" s="3" t="str">
        <f t="shared" si="6"/>
        <v>PORTUGAIS</v>
      </c>
      <c r="G61" s="2"/>
      <c r="H61" s="2"/>
      <c r="I61" s="2"/>
      <c r="J61" s="5"/>
      <c r="K61" s="5"/>
    </row>
    <row r="62">
      <c r="A62" s="3" t="str">
        <f t="shared" ref="A62:E62" si="7">UPPER(A7)</f>
        <v>INGLÊS</v>
      </c>
      <c r="B62" s="3" t="str">
        <f t="shared" si="7"/>
        <v>INGLÊS</v>
      </c>
      <c r="C62" s="3" t="str">
        <f t="shared" si="7"/>
        <v>ENGLISH</v>
      </c>
      <c r="D62" s="3" t="str">
        <f t="shared" si="7"/>
        <v>INGLÉS</v>
      </c>
      <c r="E62" s="3" t="str">
        <f t="shared" si="7"/>
        <v>ANGLAIS</v>
      </c>
    </row>
    <row r="63">
      <c r="A63" s="3" t="str">
        <f t="shared" ref="A63:E63" si="8">UPPER(A8)</f>
        <v>ESPANHOL</v>
      </c>
      <c r="B63" s="3" t="str">
        <f t="shared" si="8"/>
        <v>ESPANHOL</v>
      </c>
      <c r="C63" s="3" t="str">
        <f t="shared" si="8"/>
        <v>SPANISH</v>
      </c>
      <c r="D63" s="3" t="str">
        <f t="shared" si="8"/>
        <v>ESPAÑOL</v>
      </c>
      <c r="E63" s="3" t="str">
        <f t="shared" si="8"/>
        <v>ESPAGNOL</v>
      </c>
    </row>
    <row r="64">
      <c r="A64" s="3" t="str">
        <f t="shared" ref="A64:E64" si="9">UPPER(A9)</f>
        <v>FRANCÊS</v>
      </c>
      <c r="B64" s="3" t="str">
        <f t="shared" si="9"/>
        <v>FRANCÊS</v>
      </c>
      <c r="C64" s="3" t="str">
        <f t="shared" si="9"/>
        <v>FRENCH</v>
      </c>
      <c r="D64" s="3" t="str">
        <f t="shared" si="9"/>
        <v>FRANCÉS</v>
      </c>
      <c r="E64" s="3" t="str">
        <f t="shared" si="9"/>
        <v>FRANÇAIS</v>
      </c>
    </row>
    <row r="65">
      <c r="A65" s="3" t="str">
        <f t="shared" ref="A65:E65" si="10">UPPER(A10)</f>
        <v>VOLUME</v>
      </c>
      <c r="B65" s="3" t="str">
        <f t="shared" si="10"/>
        <v>VOLUME</v>
      </c>
      <c r="C65" s="3" t="str">
        <f t="shared" si="10"/>
        <v>VOLUME</v>
      </c>
      <c r="D65" s="3" t="str">
        <f t="shared" si="10"/>
        <v>VOLUMEN</v>
      </c>
      <c r="E65" s="3" t="str">
        <f t="shared" si="10"/>
        <v>VOLUME</v>
      </c>
    </row>
    <row r="66">
      <c r="A66" s="3" t="str">
        <f t="shared" ref="A66:E66" si="11">UPPER(A11)</f>
        <v>CONFIGURAÇÕES DE VOLUME</v>
      </c>
      <c r="B66" s="3" t="str">
        <f t="shared" si="11"/>
        <v>CONFIGURAÇÕES DE VOLUME</v>
      </c>
      <c r="C66" s="3" t="str">
        <f t="shared" si="11"/>
        <v>VOLUME SETTINGS</v>
      </c>
      <c r="D66" s="3" t="str">
        <f t="shared" si="11"/>
        <v>AJUSTES DE VOLUMEN</v>
      </c>
      <c r="E66" s="3" t="str">
        <f t="shared" si="11"/>
        <v>PARAMÈTRES DE VOLUME</v>
      </c>
    </row>
    <row r="67">
      <c r="A67" s="3" t="str">
        <f t="shared" ref="A67:E67" si="12">UPPER(A12)</f>
        <v>MÚSICA</v>
      </c>
      <c r="B67" s="3" t="str">
        <f t="shared" si="12"/>
        <v>MÚSICA</v>
      </c>
      <c r="C67" s="3" t="str">
        <f t="shared" si="12"/>
        <v>MUSIC</v>
      </c>
      <c r="D67" s="3" t="str">
        <f t="shared" si="12"/>
        <v>MÚSICA</v>
      </c>
      <c r="E67" s="3" t="str">
        <f t="shared" si="12"/>
        <v>MUSIQUE</v>
      </c>
    </row>
    <row r="68">
      <c r="A68" s="3" t="str">
        <f t="shared" ref="A68:E68" si="13">UPPER(A13)</f>
        <v>AMBIENTE</v>
      </c>
      <c r="B68" s="3" t="str">
        <f t="shared" si="13"/>
        <v>AMBIENTE</v>
      </c>
      <c r="C68" s="3" t="str">
        <f t="shared" si="13"/>
        <v>AMBIENT</v>
      </c>
      <c r="D68" s="3" t="str">
        <f t="shared" si="13"/>
        <v>AMBIENTE</v>
      </c>
      <c r="E68" s="3" t="str">
        <f t="shared" si="13"/>
        <v>AMBIANCE</v>
      </c>
    </row>
    <row r="69">
      <c r="A69" s="3" t="str">
        <f t="shared" ref="A69:E69" si="14">UPPER(A14)</f>
        <v>CONTROLES</v>
      </c>
      <c r="B69" s="3" t="str">
        <f t="shared" si="14"/>
        <v>CONTROLES</v>
      </c>
      <c r="C69" s="3" t="str">
        <f t="shared" si="14"/>
        <v>CONTROLS</v>
      </c>
      <c r="D69" s="3" t="str">
        <f t="shared" si="14"/>
        <v>CONTROLES</v>
      </c>
      <c r="E69" s="3" t="str">
        <f t="shared" si="14"/>
        <v>COMMANDES</v>
      </c>
    </row>
    <row r="70">
      <c r="A70" s="3" t="str">
        <f t="shared" ref="A70:E70" si="15">UPPER(A15)</f>
        <v>INTERFACE</v>
      </c>
      <c r="B70" s="3" t="str">
        <f t="shared" si="15"/>
        <v>INTERFACE</v>
      </c>
      <c r="C70" s="3" t="str">
        <f t="shared" si="15"/>
        <v>INTERFACE</v>
      </c>
      <c r="D70" s="3" t="str">
        <f t="shared" si="15"/>
        <v>INTERFAZ</v>
      </c>
      <c r="E70" s="3" t="str">
        <f t="shared" si="15"/>
        <v>INTERFACE</v>
      </c>
    </row>
    <row r="71">
      <c r="A71" s="3" t="str">
        <f t="shared" ref="A71:E71" si="16">UPPER(A16)</f>
        <v>TELA CHEIA</v>
      </c>
      <c r="B71" s="3" t="str">
        <f t="shared" si="16"/>
        <v>TELA CHEIA</v>
      </c>
      <c r="C71" s="3" t="str">
        <f t="shared" si="16"/>
        <v>FULL SCREEN</v>
      </c>
      <c r="D71" s="3" t="str">
        <f t="shared" si="16"/>
        <v>PANTALLA COMPLETA</v>
      </c>
      <c r="E71" s="3" t="str">
        <f t="shared" si="16"/>
        <v>PLEIN ÉCRAN</v>
      </c>
    </row>
    <row r="72">
      <c r="A72" s="3" t="str">
        <f t="shared" ref="A72:E72" si="17">UPPER(A17)</f>
        <v>MOSTRAR FPS</v>
      </c>
      <c r="B72" s="3" t="str">
        <f t="shared" si="17"/>
        <v>MOSTRAR FPS</v>
      </c>
      <c r="C72" s="3" t="str">
        <f t="shared" si="17"/>
        <v>SHOW FPS</v>
      </c>
      <c r="D72" s="3" t="str">
        <f t="shared" si="17"/>
        <v>MOSTRAR FPS</v>
      </c>
      <c r="E72" s="3" t="str">
        <f t="shared" si="17"/>
        <v>AFFICHER LES FPS</v>
      </c>
    </row>
    <row r="73">
      <c r="A73" s="3" t="str">
        <f t="shared" ref="A73:E73" si="18">UPPER(A18)</f>
        <v>LIMITE DE FPS</v>
      </c>
      <c r="B73" s="3" t="str">
        <f t="shared" si="18"/>
        <v>LIMITE DE FPS</v>
      </c>
      <c r="C73" s="3" t="str">
        <f t="shared" si="18"/>
        <v>FRAME RATE LIMIT</v>
      </c>
      <c r="D73" s="3" t="str">
        <f t="shared" si="18"/>
        <v>LÍMITE DE FPS</v>
      </c>
      <c r="E73" s="3" t="str">
        <f t="shared" si="18"/>
        <v>LIMITE DE FPS</v>
      </c>
    </row>
    <row r="74">
      <c r="A74" s="3" t="str">
        <f t="shared" ref="A74:E74" si="19">UPPER(A19)</f>
        <v>ACESSIBILIDADE</v>
      </c>
      <c r="B74" s="3" t="str">
        <f t="shared" si="19"/>
        <v>ACESSIBILIDADE</v>
      </c>
      <c r="C74" s="3" t="str">
        <f t="shared" si="19"/>
        <v>ACCESSIBILITY</v>
      </c>
      <c r="D74" s="3" t="str">
        <f t="shared" si="19"/>
        <v>ACCESIBILIDAD</v>
      </c>
      <c r="E74" s="3" t="str">
        <f t="shared" si="19"/>
        <v>ACCESSIBILITÉ</v>
      </c>
    </row>
    <row r="75">
      <c r="A75" s="3" t="str">
        <f t="shared" ref="A75:E75" si="20">UPPER(A20)</f>
        <v>FILTRO DE DALTONISMO</v>
      </c>
      <c r="B75" s="3" t="str">
        <f t="shared" si="20"/>
        <v>FILTRO DE DALTONISMO</v>
      </c>
      <c r="C75" s="3" t="str">
        <f t="shared" si="20"/>
        <v>COLOR BLINDNESS FILTER</v>
      </c>
      <c r="D75" s="3" t="str">
        <f t="shared" si="20"/>
        <v>FILTRO DE DALTONISMO</v>
      </c>
      <c r="E75" s="3" t="str">
        <f t="shared" si="20"/>
        <v>FILTRE DE DALTONISME</v>
      </c>
    </row>
    <row r="76">
      <c r="A76" s="3" t="str">
        <f t="shared" ref="A76:E76" si="21">UPPER(A21)</f>
        <v>DESLIGADO</v>
      </c>
      <c r="B76" s="3" t="str">
        <f t="shared" si="21"/>
        <v>DESLIGADO</v>
      </c>
      <c r="C76" s="3" t="str">
        <f t="shared" si="21"/>
        <v>DISABLED</v>
      </c>
      <c r="D76" s="3" t="str">
        <f t="shared" si="21"/>
        <v>DESACTIVADO</v>
      </c>
      <c r="E76" s="3" t="str">
        <f t="shared" si="21"/>
        <v>DÉSACTIVÉ</v>
      </c>
    </row>
    <row r="77">
      <c r="A77" s="3" t="str">
        <f t="shared" ref="A77:E77" si="22">UPPER(A22)</f>
        <v>LIGADO</v>
      </c>
      <c r="B77" s="3" t="str">
        <f t="shared" si="22"/>
        <v>LIGADO</v>
      </c>
      <c r="C77" s="3" t="str">
        <f t="shared" si="22"/>
        <v>ENABLED</v>
      </c>
      <c r="D77" s="3" t="str">
        <f t="shared" si="22"/>
        <v>ACTIVADO</v>
      </c>
      <c r="E77" s="3" t="str">
        <f t="shared" si="22"/>
        <v>ACTIVÉ</v>
      </c>
    </row>
    <row r="78">
      <c r="A78" s="3" t="str">
        <f t="shared" ref="A78:E78" si="23">UPPER(A23)</f>
        <v>INTENSIDADE</v>
      </c>
      <c r="B78" s="3" t="str">
        <f t="shared" si="23"/>
        <v>INTENSIDADE</v>
      </c>
      <c r="C78" s="3" t="str">
        <f t="shared" si="23"/>
        <v>INTENSITY</v>
      </c>
      <c r="D78" s="3" t="str">
        <f t="shared" si="23"/>
        <v>INTENSIDAD</v>
      </c>
      <c r="E78" s="3" t="str">
        <f t="shared" si="23"/>
        <v>INTENSITÉ</v>
      </c>
    </row>
    <row r="79">
      <c r="A79" s="3" t="str">
        <f t="shared" ref="A79:E79" si="24">UPPER(A24)</f>
        <v>LEGENDAS</v>
      </c>
      <c r="B79" s="3" t="str">
        <f t="shared" si="24"/>
        <v>LEGENDAS</v>
      </c>
      <c r="C79" s="3" t="str">
        <f t="shared" si="24"/>
        <v>SUBTITLES</v>
      </c>
      <c r="D79" s="3" t="str">
        <f t="shared" si="24"/>
        <v>SUBTÍTULOS</v>
      </c>
      <c r="E79" s="3" t="str">
        <f t="shared" si="24"/>
        <v>SOUS-TITRES</v>
      </c>
    </row>
    <row r="80">
      <c r="A80" s="3" t="str">
        <f t="shared" ref="A80:E80" si="25">UPPER(A25)</f>
        <v>TAMANHO</v>
      </c>
      <c r="B80" s="3" t="str">
        <f t="shared" si="25"/>
        <v>TAMANHO</v>
      </c>
      <c r="C80" s="3" t="str">
        <f t="shared" si="25"/>
        <v>SIZE</v>
      </c>
      <c r="D80" s="3" t="str">
        <f t="shared" si="25"/>
        <v>TAMAÑO</v>
      </c>
      <c r="E80" s="3" t="str">
        <f t="shared" si="25"/>
        <v>TAILLE</v>
      </c>
    </row>
    <row r="81">
      <c r="A81" s="3" t="str">
        <f t="shared" ref="A81:E81" si="26">UPPER(A26)</f>
        <v>MINUTOS</v>
      </c>
      <c r="B81" s="3" t="str">
        <f t="shared" si="26"/>
        <v>MINUTOS</v>
      </c>
      <c r="C81" s="3" t="str">
        <f t="shared" si="26"/>
        <v>MINUTES</v>
      </c>
      <c r="D81" s="3" t="str">
        <f t="shared" si="26"/>
        <v>ACTAS</v>
      </c>
      <c r="E81" s="3" t="str">
        <f t="shared" si="26"/>
        <v>MINUTES</v>
      </c>
    </row>
    <row r="82">
      <c r="A82" s="3" t="str">
        <f t="shared" ref="A82:E82" si="27">UPPER(A27)</f>
        <v>LEITOR DE TELA</v>
      </c>
      <c r="B82" s="3" t="str">
        <f t="shared" si="27"/>
        <v>LEITOR DE TELA</v>
      </c>
      <c r="C82" s="3" t="str">
        <f t="shared" si="27"/>
        <v>SCREEN READER</v>
      </c>
      <c r="D82" s="3" t="str">
        <f t="shared" si="27"/>
        <v>LECTOR DE PANTALLA</v>
      </c>
      <c r="E82" s="3" t="str">
        <f t="shared" si="27"/>
        <v>LECTEUR D'ÉCRAN</v>
      </c>
    </row>
    <row r="83">
      <c r="A83" s="3" t="str">
        <f t="shared" ref="A83:E83" si="28">UPPER(A28)</f>
        <v>VELOCIDADE</v>
      </c>
      <c r="B83" s="3" t="str">
        <f t="shared" si="28"/>
        <v>VELOCIDADE</v>
      </c>
      <c r="C83" s="3" t="str">
        <f t="shared" si="28"/>
        <v>SPEED</v>
      </c>
      <c r="D83" s="3" t="str">
        <f t="shared" si="28"/>
        <v>VELOCIDAD</v>
      </c>
      <c r="E83" s="3" t="str">
        <f t="shared" si="28"/>
        <v>VITESSE</v>
      </c>
    </row>
    <row r="84">
      <c r="A84" s="3" t="str">
        <f t="shared" ref="A84:E84" si="29">UPPER(A29)</f>
        <v>ALTO CONTRASTE</v>
      </c>
      <c r="B84" s="3" t="str">
        <f t="shared" si="29"/>
        <v>ALTO CONTRASTE</v>
      </c>
      <c r="C84" s="3" t="str">
        <f t="shared" si="29"/>
        <v>HIGH CONTRAST</v>
      </c>
      <c r="D84" s="3" t="str">
        <f t="shared" si="29"/>
        <v>ALTO CONTRASTE</v>
      </c>
      <c r="E84" s="3" t="str">
        <f t="shared" si="29"/>
        <v>CONTRASTE ÉLEVÉ</v>
      </c>
    </row>
    <row r="85">
      <c r="A85" s="3" t="str">
        <f t="shared" ref="A85:E85" si="30">UPPER(A30)</f>
        <v>VOLTAR</v>
      </c>
      <c r="B85" s="3" t="str">
        <f t="shared" si="30"/>
        <v>VOLTAR</v>
      </c>
      <c r="C85" s="3" t="str">
        <f t="shared" si="30"/>
        <v>BACK</v>
      </c>
      <c r="D85" s="3" t="str">
        <f t="shared" si="30"/>
        <v>VOLVER</v>
      </c>
      <c r="E85" s="3" t="str">
        <f t="shared" si="30"/>
        <v>RETOUR</v>
      </c>
    </row>
    <row r="86">
      <c r="A86" s="3" t="str">
        <f t="shared" ref="A86:E86" si="31">UPPER(A31)</f>
        <v>TAMANHO DA INTERFACE</v>
      </c>
      <c r="B86" s="3" t="str">
        <f t="shared" si="31"/>
        <v>TAMANHO DA INTERFACE</v>
      </c>
      <c r="C86" s="3" t="str">
        <f t="shared" si="31"/>
        <v>INTERFACE SIZE</v>
      </c>
      <c r="D86" s="3" t="str">
        <f t="shared" si="31"/>
        <v>TAMAÑO DE LA INTERFAZ</v>
      </c>
      <c r="E86" s="3" t="str">
        <f t="shared" si="31"/>
        <v>TAILLE DE L'INTERFACE</v>
      </c>
    </row>
    <row r="87">
      <c r="A87" s="3" t="str">
        <f t="shared" ref="A87:E87" si="32">UPPER(A32)</f>
        <v>OPÇÕES DE VOLUME</v>
      </c>
      <c r="B87" s="3" t="str">
        <f t="shared" si="32"/>
        <v>OPÇÕES DE VOLUME</v>
      </c>
      <c r="C87" s="3" t="str">
        <f t="shared" si="32"/>
        <v>VOLUME SETTINGS</v>
      </c>
      <c r="D87" s="3" t="str">
        <f t="shared" si="32"/>
        <v>AJUSTES DE VOLUMEN</v>
      </c>
      <c r="E87" s="3" t="str">
        <f t="shared" si="32"/>
        <v>PARAMÈTRES DE VOLUME</v>
      </c>
    </row>
    <row r="88">
      <c r="A88" s="3" t="str">
        <f t="shared" ref="A88:E88" si="33">UPPER(A33)</f>
        <v>OPÇÕES DE CONTROLES</v>
      </c>
      <c r="B88" s="3" t="str">
        <f t="shared" si="33"/>
        <v>OPÇÕES DE CONTROLES</v>
      </c>
      <c r="C88" s="3" t="str">
        <f t="shared" si="33"/>
        <v>CONTROL SETTINGS</v>
      </c>
      <c r="D88" s="3" t="str">
        <f t="shared" si="33"/>
        <v>AJUSTES DE CONTROLES</v>
      </c>
      <c r="E88" s="3" t="str">
        <f t="shared" si="33"/>
        <v>PARAMÈTRES DES COMMANDES</v>
      </c>
    </row>
    <row r="89">
      <c r="A89" s="3" t="str">
        <f t="shared" ref="A89:E89" si="34">UPPER(A34)</f>
        <v>OPÇÕES DE INTERFACE</v>
      </c>
      <c r="B89" s="3" t="str">
        <f t="shared" si="34"/>
        <v>OPÇÕES DE INTERFACE</v>
      </c>
      <c r="C89" s="3" t="str">
        <f t="shared" si="34"/>
        <v>INTERFACE SETTINGS</v>
      </c>
      <c r="D89" s="3" t="str">
        <f t="shared" si="34"/>
        <v>AJUSTES DE INTERFAZ</v>
      </c>
      <c r="E89" s="3" t="str">
        <f t="shared" si="34"/>
        <v>PARAMÈTRES D'INTERFACE</v>
      </c>
    </row>
    <row r="90">
      <c r="A90" s="3" t="str">
        <f t="shared" ref="A90:E90" si="35">UPPER(A35)</f>
        <v>OPÇÕES DE ACESSIBILIDADE</v>
      </c>
      <c r="B90" s="3" t="str">
        <f t="shared" si="35"/>
        <v>OPÇÕES DE ACESSIBILIDADE</v>
      </c>
      <c r="C90" s="3" t="str">
        <f t="shared" si="35"/>
        <v>ACCESSIBILITY SETTINGS</v>
      </c>
      <c r="D90" s="3" t="str">
        <f t="shared" si="35"/>
        <v>AJUSTES DE ACCESIBILIDAD</v>
      </c>
      <c r="E90" s="3" t="str">
        <f t="shared" si="35"/>
        <v>PARAMÈTRES D'ACCESSIBILITÉ</v>
      </c>
    </row>
    <row r="91">
      <c r="A91" s="3" t="str">
        <f t="shared" ref="A91:E91" si="36">UPPER(A36)</f>
        <v>TELA CHEIA ATIVADA</v>
      </c>
      <c r="B91" s="3" t="str">
        <f t="shared" si="36"/>
        <v>TELA CHEIA ATIVADA</v>
      </c>
      <c r="C91" s="3" t="str">
        <f t="shared" si="36"/>
        <v>FULL SCREEN ENABLED</v>
      </c>
      <c r="D91" s="3" t="str">
        <f t="shared" si="36"/>
        <v>PANTALLA COMPLETA ACTIVADA</v>
      </c>
      <c r="E91" s="3" t="str">
        <f t="shared" si="36"/>
        <v>PLEIN ÉCRAN ACTIVÉ</v>
      </c>
    </row>
    <row r="92">
      <c r="A92" s="3" t="str">
        <f t="shared" ref="A92:E92" si="37">UPPER(A37)</f>
        <v>TELA CHEIA DESATIVADA</v>
      </c>
      <c r="B92" s="3" t="str">
        <f t="shared" si="37"/>
        <v>TELA CHEIA DESATIVADA</v>
      </c>
      <c r="C92" s="3" t="str">
        <f t="shared" si="37"/>
        <v>FULL SCREEN DISABLED</v>
      </c>
      <c r="D92" s="3" t="str">
        <f t="shared" si="37"/>
        <v>PANTALLA COMPLETA DESACTIVADA</v>
      </c>
      <c r="E92" s="3" t="str">
        <f t="shared" si="37"/>
        <v>PLEIN ÉCRAN DÉSACTIVÉ</v>
      </c>
    </row>
    <row r="93">
      <c r="A93" s="3" t="str">
        <f t="shared" ref="A93:E93" si="38">UPPER(A38)</f>
        <v>MOSTRAR FPS ATIVADO</v>
      </c>
      <c r="B93" s="3" t="str">
        <f t="shared" si="38"/>
        <v>MOSTRAR FPS ATIVADO</v>
      </c>
      <c r="C93" s="3" t="str">
        <f t="shared" si="38"/>
        <v>SHOW FPS ENABLED</v>
      </c>
      <c r="D93" s="3" t="str">
        <f t="shared" si="38"/>
        <v>MOSTRAR FPS ACTIVADO</v>
      </c>
      <c r="E93" s="3" t="str">
        <f t="shared" si="38"/>
        <v>AFFICHER LES FPS ACTIVÉ</v>
      </c>
    </row>
    <row r="94">
      <c r="A94" s="3" t="str">
        <f t="shared" ref="A94:E94" si="39">UPPER(A39)</f>
        <v>MOSTRAR FPS DESATIVADO</v>
      </c>
      <c r="B94" s="3" t="str">
        <f t="shared" si="39"/>
        <v>MOSTRAR FPS DESATIVADO</v>
      </c>
      <c r="C94" s="3" t="str">
        <f t="shared" si="39"/>
        <v>SHOW FPS DISABLED</v>
      </c>
      <c r="D94" s="3" t="str">
        <f t="shared" si="39"/>
        <v>MOSTRAR FPS ACTIVADO</v>
      </c>
      <c r="E94" s="3" t="str">
        <f t="shared" si="39"/>
        <v>AFFICHER LES FPS DÉSACTIVÉ</v>
      </c>
    </row>
    <row r="95">
      <c r="A95" s="3" t="str">
        <f t="shared" ref="A95:E95" si="40">UPPER(A40)</f>
        <v>FILTRO DE DALTONISMO ATIVADO</v>
      </c>
      <c r="B95" s="3" t="str">
        <f t="shared" si="40"/>
        <v>FILTRO DE DALTONISMO ATIVADO</v>
      </c>
      <c r="C95" s="3" t="str">
        <f t="shared" si="40"/>
        <v>COLOR BLINDNESS FILTER ENABLED</v>
      </c>
      <c r="D95" s="3" t="str">
        <f t="shared" si="40"/>
        <v>FILTRO DE DALTONISMO ACTIVADO</v>
      </c>
      <c r="E95" s="3" t="str">
        <f t="shared" si="40"/>
        <v>FILTRE DE DALTONISME ACTIVÉ</v>
      </c>
    </row>
    <row r="96">
      <c r="A96" s="3" t="str">
        <f t="shared" ref="A96:E96" si="41">UPPER(A41)</f>
        <v>FILTRO DE DALTONISMO DESTIVADO</v>
      </c>
      <c r="B96" s="3" t="str">
        <f t="shared" si="41"/>
        <v>FILTRO DE DALTONISMO DESTIVADO</v>
      </c>
      <c r="C96" s="3" t="str">
        <f t="shared" si="41"/>
        <v>COLOR BLINDNESS FILTER DISABLED</v>
      </c>
      <c r="D96" s="3" t="str">
        <f t="shared" si="41"/>
        <v>FILTRO DE DALTONISMO DESACTIVADO</v>
      </c>
      <c r="E96" s="3" t="str">
        <f t="shared" si="41"/>
        <v>FILTRE DE DALTONISME DÉSACTIVÉ</v>
      </c>
    </row>
    <row r="97">
      <c r="A97" s="3" t="str">
        <f t="shared" ref="A97:E97" si="42">UPPER(A42)</f>
        <v>LEGENDAS LIGADAS</v>
      </c>
      <c r="B97" s="3" t="str">
        <f t="shared" si="42"/>
        <v>LEGENDAS LIGADAS</v>
      </c>
      <c r="C97" s="3" t="str">
        <f t="shared" si="42"/>
        <v>SUBTITLES ENABLED</v>
      </c>
      <c r="D97" s="3" t="str">
        <f t="shared" si="42"/>
        <v>SUBTÍTULOS ACTIVADAS</v>
      </c>
      <c r="E97" s="3" t="str">
        <f t="shared" si="42"/>
        <v>SOUS-TITRES ACTIVÉ</v>
      </c>
    </row>
    <row r="98">
      <c r="A98" s="3" t="str">
        <f t="shared" ref="A98:E98" si="43">UPPER(A43)</f>
        <v>LEGENDAS DESLIGADAS</v>
      </c>
      <c r="B98" s="3" t="str">
        <f t="shared" si="43"/>
        <v>LEGENDAS DESLIGADAS</v>
      </c>
      <c r="C98" s="3" t="str">
        <f t="shared" si="43"/>
        <v>SUBTITLES DISABLED</v>
      </c>
      <c r="D98" s="3" t="str">
        <f t="shared" si="43"/>
        <v>SUBTÍTULOS DESACTIVADAS</v>
      </c>
      <c r="E98" s="3" t="str">
        <f t="shared" si="43"/>
        <v>SOUS-TITRES DÉSACTIVÉ</v>
      </c>
    </row>
    <row r="99">
      <c r="A99" s="3" t="str">
        <f t="shared" ref="A99:E99" si="44">UPPER(A44)</f>
        <v>LEITOR DE TELA ATIVADO</v>
      </c>
      <c r="B99" s="3" t="str">
        <f t="shared" si="44"/>
        <v>LEITOR DE TELA ATIVADO</v>
      </c>
      <c r="C99" s="3" t="str">
        <f t="shared" si="44"/>
        <v>SCREEN READER ENABLED</v>
      </c>
      <c r="D99" s="3" t="str">
        <f t="shared" si="44"/>
        <v>LECTOR DE PANTALLA ACTIVADO</v>
      </c>
      <c r="E99" s="3" t="str">
        <f t="shared" si="44"/>
        <v>LECTEUR D'ÉCRAN ACTIVÉ</v>
      </c>
    </row>
    <row r="100">
      <c r="A100" s="3" t="str">
        <f t="shared" ref="A100:E100" si="45">UPPER(A45)</f>
        <v>LEITOR DE TELA DESATIVADO</v>
      </c>
      <c r="B100" s="3" t="str">
        <f t="shared" si="45"/>
        <v>LEITOR DE TELA DESATIVADO</v>
      </c>
      <c r="C100" s="3" t="str">
        <f t="shared" si="45"/>
        <v>SCREEN READER DISABLED</v>
      </c>
      <c r="D100" s="3" t="str">
        <f t="shared" si="45"/>
        <v>LECTOR DE PANTALLA DESACTIVADO</v>
      </c>
      <c r="E100" s="3" t="str">
        <f t="shared" si="45"/>
        <v>LECTEUR D'ÉCRAN DÉSACTIVÉ</v>
      </c>
    </row>
    <row r="101">
      <c r="A101" s="3" t="str">
        <f t="shared" ref="A101:E101" si="46">UPPER(A46)</f>
        <v>ALTO CONTRASTE LIGADO</v>
      </c>
      <c r="B101" s="3" t="str">
        <f t="shared" si="46"/>
        <v>ALTO CONTRASTE LIGADO</v>
      </c>
      <c r="C101" s="3" t="str">
        <f t="shared" si="46"/>
        <v>HIGH CONTRAST ENABLED</v>
      </c>
      <c r="D101" s="3" t="str">
        <f t="shared" si="46"/>
        <v>ALTO CONTRASTE ACTIVADO</v>
      </c>
      <c r="E101" s="3" t="str">
        <f t="shared" si="46"/>
        <v>CONTRASTE ÉLEVÉ ACTIVÉ</v>
      </c>
    </row>
    <row r="102">
      <c r="A102" s="3" t="str">
        <f t="shared" ref="A102:E102" si="47">UPPER(A47)</f>
        <v>ALTO CONTRASTE DESLIGADO</v>
      </c>
      <c r="B102" s="3" t="str">
        <f t="shared" si="47"/>
        <v>ALTO CONTRASTE DESLIGADO</v>
      </c>
      <c r="C102" s="3" t="str">
        <f t="shared" si="47"/>
        <v>HIGH CONTRAST DISABLED</v>
      </c>
      <c r="D102" s="3" t="str">
        <f t="shared" si="47"/>
        <v>ALTO CONTRASTE DESACTIVADO</v>
      </c>
      <c r="E102" s="3" t="str">
        <f t="shared" si="47"/>
        <v>CONTRASTE ÉLEVÉ DÉSACTIVÉ</v>
      </c>
    </row>
    <row r="103">
      <c r="A103" s="3" t="str">
        <f t="shared" ref="A103:E103" si="48">UPPER(A48)</f>
        <v>PEQUENO</v>
      </c>
      <c r="B103" s="3" t="str">
        <f t="shared" si="48"/>
        <v>PEQUENO</v>
      </c>
      <c r="C103" s="3" t="str">
        <f t="shared" si="48"/>
        <v>SMALL</v>
      </c>
      <c r="D103" s="3" t="str">
        <f t="shared" si="48"/>
        <v>PEQUEÑO</v>
      </c>
      <c r="E103" s="3" t="str">
        <f t="shared" si="48"/>
        <v>PETIT</v>
      </c>
    </row>
    <row r="104">
      <c r="A104" s="3" t="str">
        <f t="shared" ref="A104:E104" si="49">UPPER(A49)</f>
        <v>PADRÃO</v>
      </c>
      <c r="B104" s="3" t="str">
        <f t="shared" si="49"/>
        <v>PADRÃO</v>
      </c>
      <c r="C104" s="3" t="str">
        <f t="shared" si="49"/>
        <v>DEFAULT</v>
      </c>
      <c r="D104" s="3" t="str">
        <f t="shared" si="49"/>
        <v>ESTÁNDAR</v>
      </c>
      <c r="E104" s="3" t="str">
        <f t="shared" si="49"/>
        <v>PAR DÉFAUT</v>
      </c>
    </row>
    <row r="105">
      <c r="A105" s="3" t="str">
        <f t="shared" ref="A105:E105" si="50">UPPER(A50)</f>
        <v>GRANDE</v>
      </c>
      <c r="B105" s="3" t="str">
        <f t="shared" si="50"/>
        <v>GRANDE</v>
      </c>
      <c r="C105" s="3" t="str">
        <f t="shared" si="50"/>
        <v>LARGE</v>
      </c>
      <c r="D105" s="3" t="str">
        <f t="shared" si="50"/>
        <v>GRANDE</v>
      </c>
      <c r="E105" s="3" t="str">
        <f t="shared" si="50"/>
        <v>GRAND</v>
      </c>
    </row>
    <row r="106">
      <c r="A106" s="3" t="str">
        <f t="shared" ref="A106:E106" si="51">UPPER(A51)</f>
        <v>TAMANHO DAS LEGENDAS: PEQUENO</v>
      </c>
      <c r="B106" s="3" t="str">
        <f t="shared" si="51"/>
        <v>TAMANHO DAS LEGENDAS: PEQUENO</v>
      </c>
      <c r="C106" s="3" t="str">
        <f t="shared" si="51"/>
        <v>SMALL SUBTITLES SIZE</v>
      </c>
      <c r="D106" s="3" t="str">
        <f t="shared" si="51"/>
        <v>TAMAÑO DE LOS SUBTÍTULOS: PEQUEÑO</v>
      </c>
      <c r="E106" s="3" t="str">
        <f t="shared" si="51"/>
        <v>PETITE TAILLE DES SOUS-TITRES</v>
      </c>
    </row>
    <row r="107">
      <c r="A107" s="3" t="str">
        <f t="shared" ref="A107:E107" si="52">UPPER(A52)</f>
        <v>TAMANHO DAS LEGENDAS: PADRÃO</v>
      </c>
      <c r="B107" s="3" t="str">
        <f t="shared" si="52"/>
        <v>TAMANHO DAS LEGENDAS: PADRÃO</v>
      </c>
      <c r="C107" s="3" t="str">
        <f t="shared" si="52"/>
        <v>DEFAULT SUBTITLES SIZE</v>
      </c>
      <c r="D107" s="3" t="str">
        <f t="shared" si="52"/>
        <v>TAMAÑO DE LOS SUBTÍTULOS: ESTÁNDAR</v>
      </c>
      <c r="E107" s="3" t="str">
        <f t="shared" si="52"/>
        <v>TAILLE PAR DÉFAUT DES SOUS-TITRES</v>
      </c>
    </row>
    <row r="108">
      <c r="A108" s="3" t="str">
        <f t="shared" ref="A108:E108" si="53">UPPER(A53)</f>
        <v>TAMANHO DAS LEGENDAS: GRANDE</v>
      </c>
      <c r="B108" s="3" t="str">
        <f t="shared" si="53"/>
        <v>TAMANHO DAS LEGENDAS: GRANDE</v>
      </c>
      <c r="C108" s="3" t="str">
        <f t="shared" si="53"/>
        <v>LARGE SUBTITLES SIZE</v>
      </c>
      <c r="D108" s="3" t="str">
        <f t="shared" si="53"/>
        <v>TAMAÑO DE LOS SUBTÍTULOS: GRANDE</v>
      </c>
      <c r="E108" s="3" t="str">
        <f t="shared" si="53"/>
        <v>GRANDS TAILLE DES SOUS-TITRES</v>
      </c>
    </row>
    <row r="109">
      <c r="A109" s="3" t="str">
        <f t="shared" ref="A109:E109" si="54">UPPER(A54)</f>
        <v>TAMANHO DA INTERFACE: PEQUENO</v>
      </c>
      <c r="B109" s="3" t="str">
        <f t="shared" si="54"/>
        <v>TAMANHO DA INTERFACE: PEQUENO</v>
      </c>
      <c r="C109" s="3" t="str">
        <f t="shared" si="54"/>
        <v>SMALL INTERFACE SIZE</v>
      </c>
      <c r="D109" s="3" t="str">
        <f t="shared" si="54"/>
        <v>TAMAÑO DE LA INTERFAZ: PEQUEÑO</v>
      </c>
      <c r="E109" s="3" t="str">
        <f t="shared" si="54"/>
        <v>PETITE TAILLE DE L'INTERFACE</v>
      </c>
    </row>
    <row r="110">
      <c r="A110" s="3" t="str">
        <f t="shared" ref="A110:E110" si="55">UPPER(A55)</f>
        <v>TAMANHO DA INTERFACE: PADRÃO</v>
      </c>
      <c r="B110" s="3" t="str">
        <f t="shared" si="55"/>
        <v>TAMANHO DA INTERFACE: PADRÃO</v>
      </c>
      <c r="C110" s="3" t="str">
        <f t="shared" si="55"/>
        <v>DEFAULT INTERFACE SIZE</v>
      </c>
      <c r="D110" s="3" t="str">
        <f t="shared" si="55"/>
        <v>TAMAÑO DE LA INTERFAZ: ESTÁNDAR</v>
      </c>
      <c r="E110" s="3" t="str">
        <f t="shared" si="55"/>
        <v>TAILLE PAR DÉFAUT DE L'INTERFACE</v>
      </c>
    </row>
    <row r="111">
      <c r="A111" s="3" t="str">
        <f t="shared" ref="A111:E111" si="56">UPPER(A56)</f>
        <v>TAMANHO DA INTERFACE: GRANDE</v>
      </c>
      <c r="B111" s="3" t="str">
        <f t="shared" si="56"/>
        <v>TAMANHO DA INTERFACE: GRANDE</v>
      </c>
      <c r="C111" s="3" t="str">
        <f t="shared" si="56"/>
        <v>LARGE INTERFACE SIZE</v>
      </c>
      <c r="D111" s="3" t="str">
        <f t="shared" si="56"/>
        <v>TAMAÑO DE LA INTERFAZ: GRANDE</v>
      </c>
      <c r="E111" s="3" t="str">
        <f t="shared" si="56"/>
        <v>GRANDS TAILLE DE L'INTERFACE</v>
      </c>
    </row>
    <row r="112">
      <c r="A112" s="6" t="s">
        <v>205</v>
      </c>
      <c r="B112" s="7" t="str">
        <f>IFERROR(__xludf.DUMMYFUNCTION("GOOGLETRANSLATE(A112, ""pt"", ""pt"")"),"Intensidade Filtro de Daltonismo")</f>
        <v>Intensidade Filtro de Daltonismo</v>
      </c>
      <c r="C112" s="7" t="str">
        <f>IFERROR(__xludf.DUMMYFUNCTION("GOOGLETRANSLATE(B112, ""pt"", ""en"")"),"Color Blindness Filter Intensity")</f>
        <v>Color Blindness Filter Intensity</v>
      </c>
      <c r="D112" s="7" t="str">
        <f>IFERROR(__xludf.DUMMYFUNCTION("GOOGLETRANSLATE(C112, ""pt"", ""es"")"),"Intensidad del filtro para daltonismo")</f>
        <v>Intensidad del filtro para daltonismo</v>
      </c>
      <c r="E112" s="7" t="str">
        <f>IFERROR(__xludf.DUMMYFUNCTION("GOOGLETRANSLATE(D112, ""pt"", ""fr"")"),"Intensité du filtre pour le daltonisme")</f>
        <v>Intensité du filtre pour le daltonisme</v>
      </c>
    </row>
    <row r="113">
      <c r="A113" s="6" t="s">
        <v>206</v>
      </c>
      <c r="B113" s="7" t="str">
        <f>IFERROR(__xludf.DUMMYFUNCTION("GOOGLETRANSLATE(A113, ""pt"", ""pt"")"),"Velocidade de Fala do Leitor de Tela")</f>
        <v>Velocidade de Fala do Leitor de Tela</v>
      </c>
      <c r="C113" s="7" t="str">
        <f>IFERROR(__xludf.DUMMYFUNCTION("GOOGLETRANSLATE(B113, ""pt"", ""en"")"),"Screen Reader Speech Rate")</f>
        <v>Screen Reader Speech Rate</v>
      </c>
      <c r="D113" s="7" t="str">
        <f>IFERROR(__xludf.DUMMYFUNCTION("GOOGLETRANSLATE(C113, ""pt"", ""es"")"),"Velocidad de habla del lector de pantalla")</f>
        <v>Velocidad de habla del lector de pantalla</v>
      </c>
      <c r="E113" s="7" t="str">
        <f>IFERROR(__xludf.DUMMYFUNCTION("GOOGLETRANSLATE(D113, ""pt"", ""fr"")"),"vitesse de lecture de l'écran")</f>
        <v>vitesse de lecture de l'écran</v>
      </c>
    </row>
    <row r="114">
      <c r="A114" s="6" t="s">
        <v>207</v>
      </c>
      <c r="B114" s="7" t="str">
        <f>IFERROR(__xludf.DUMMYFUNCTION("GOOGLETRANSLATE(A114, ""pt"", ""pt"")"),"Bem Vindo, o leitor de tela pode ser ativado")</f>
        <v>Bem Vindo, o leitor de tela pode ser ativado</v>
      </c>
      <c r="C114" s="7" t="str">
        <f>IFERROR(__xludf.DUMMYFUNCTION("GOOGLETRANSLATE(B114, ""pt"", ""en"")"),"Welcome, the screen reader can be activated.")</f>
        <v>Welcome, the screen reader can be activated.</v>
      </c>
      <c r="D114" s="7" t="str">
        <f>IFERROR(__xludf.DUMMYFUNCTION("GOOGLETRANSLATE(C114, ""pt"", ""es"")"),"Bienvenido, el lector de pantalla puede activarse.")</f>
        <v>Bienvenido, el lector de pantalla puede activarse.</v>
      </c>
      <c r="E114" s="7" t="str">
        <f>IFERROR(__xludf.DUMMYFUNCTION("GOOGLETRANSLATE(D114, ""pt"", ""fr"")"),"Bienvenue, le lecteur d'écran peut être activé.")</f>
        <v>Bienvenue, le lecteur d'écran peut être activé.</v>
      </c>
    </row>
    <row r="115">
      <c r="A115" s="6" t="s">
        <v>208</v>
      </c>
      <c r="B115" s="7" t="str">
        <f>IFERROR(__xludf.DUMMYFUNCTION("GOOGLETRANSLATE(A115, ""pt"", ""pt"")"),"Bem Vindo")</f>
        <v>Bem Vindo</v>
      </c>
      <c r="C115" s="7" t="str">
        <f>IFERROR(__xludf.DUMMYFUNCTION("GOOGLETRANSLATE(B115, ""pt"", ""en"")"),"Welcome")</f>
        <v>Welcome</v>
      </c>
      <c r="D115" s="7" t="str">
        <f>IFERROR(__xludf.DUMMYFUNCTION("GOOGLETRANSLATE(C115, ""pt"", ""es"")"),"Bienvenido")</f>
        <v>Bienvenido</v>
      </c>
      <c r="E115" s="7" t="str">
        <f>IFERROR(__xludf.DUMMYFUNCTION("GOOGLETRANSLATE(D115, ""pt"", ""fr"")"),"Accueillir")</f>
        <v>Accueillir</v>
      </c>
    </row>
    <row r="116">
      <c r="A116" s="6" t="s">
        <v>106</v>
      </c>
      <c r="B116" s="6" t="s">
        <v>106</v>
      </c>
      <c r="C116" s="8" t="s">
        <v>107</v>
      </c>
      <c r="D116" s="9" t="s">
        <v>209</v>
      </c>
      <c r="E116" s="2" t="s">
        <v>210</v>
      </c>
    </row>
    <row r="117">
      <c r="A117" s="6" t="s">
        <v>174</v>
      </c>
      <c r="B117" s="6" t="s">
        <v>174</v>
      </c>
      <c r="C117" s="6" t="s">
        <v>175</v>
      </c>
      <c r="D117" s="6" t="s">
        <v>211</v>
      </c>
      <c r="E117" s="6" t="s">
        <v>212</v>
      </c>
    </row>
    <row r="118">
      <c r="A118" s="6" t="s">
        <v>213</v>
      </c>
      <c r="B118" s="8" t="s">
        <v>214</v>
      </c>
      <c r="C118" s="2" t="s">
        <v>215</v>
      </c>
      <c r="D118" s="9" t="s">
        <v>216</v>
      </c>
      <c r="E118" s="2" t="s">
        <v>217</v>
      </c>
    </row>
    <row r="119">
      <c r="A119" s="6" t="s">
        <v>218</v>
      </c>
      <c r="B119" s="2" t="s">
        <v>218</v>
      </c>
      <c r="C119" s="2" t="s">
        <v>219</v>
      </c>
      <c r="D119" s="2" t="s">
        <v>218</v>
      </c>
      <c r="E119" s="2" t="s">
        <v>220</v>
      </c>
    </row>
    <row r="122">
      <c r="C122" s="9"/>
    </row>
    <row r="123">
      <c r="C123" s="6"/>
      <c r="D123" s="8"/>
    </row>
    <row r="124">
      <c r="C124" s="9"/>
      <c r="D124" s="6"/>
    </row>
  </sheetData>
  <drawing r:id="rId1"/>
  <tableParts count="3">
    <tablePart r:id="rId5"/>
    <tablePart r:id="rId6"/>
    <tablePart r:id="rId7"/>
  </tableParts>
</worksheet>
</file>